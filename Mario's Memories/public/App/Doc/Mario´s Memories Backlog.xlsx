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nni\Desktop\Projeto-Individual\Mario's Memories\public\App\Doc\"/>
    </mc:Choice>
  </mc:AlternateContent>
  <xr:revisionPtr revIDLastSave="0" documentId="8_{9CEEF4BB-4D7D-4795-94AD-6CB79667FC21}" xr6:coauthVersionLast="47" xr6:coauthVersionMax="47" xr10:uidLastSave="{00000000-0000-0000-0000-000000000000}"/>
  <bookViews>
    <workbookView xWindow="-108" yWindow="-108" windowWidth="23256" windowHeight="12456" xr2:uid="{D3BC26AD-DBAA-4C3B-93B0-E7C4559A63C9}"/>
  </bookViews>
  <sheets>
    <sheet name="Planilha1" sheetId="1" r:id="rId1"/>
  </sheets>
  <definedNames>
    <definedName name="_xlnm._FilterDatabase" localSheetId="0" hidden="1">Planilha1!$A$5:$Q$5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X6" i="1"/>
  <c r="X5" i="1"/>
  <c r="Z5" i="1"/>
  <c r="Z4" i="1"/>
  <c r="X4" i="1"/>
  <c r="V7" i="1"/>
  <c r="V6" i="1"/>
  <c r="V5" i="1"/>
  <c r="V4" i="1"/>
  <c r="T7" i="1"/>
  <c r="T6" i="1"/>
  <c r="T5" i="1"/>
  <c r="T4" i="1"/>
  <c r="T3" i="1"/>
</calcChain>
</file>

<file path=xl/sharedStrings.xml><?xml version="1.0" encoding="utf-8"?>
<sst xmlns="http://schemas.openxmlformats.org/spreadsheetml/2006/main" count="137" uniqueCount="73">
  <si>
    <t>Requisito</t>
  </si>
  <si>
    <t>Descrição</t>
  </si>
  <si>
    <t>Classificação</t>
  </si>
  <si>
    <t>Tamanho</t>
  </si>
  <si>
    <t>Tam(#)</t>
  </si>
  <si>
    <t>Prioridade</t>
  </si>
  <si>
    <t>Semana</t>
  </si>
  <si>
    <t>BACKLOG</t>
  </si>
  <si>
    <t>Escolha do Tema</t>
  </si>
  <si>
    <t>Coleta de Informações</t>
  </si>
  <si>
    <t>Contexto e Documentação</t>
  </si>
  <si>
    <t>Elaborar regra de negócio</t>
  </si>
  <si>
    <t>Prótotipo do Site</t>
  </si>
  <si>
    <t>Decidir a interação do Site</t>
  </si>
  <si>
    <t>Desenvolver o Jogo da Memória</t>
  </si>
  <si>
    <t>Identidade Visual</t>
  </si>
  <si>
    <t>Paleta de Cores</t>
  </si>
  <si>
    <t>Escolha de Métricas e Kpis</t>
  </si>
  <si>
    <t>Unificação das Fontes de Tipologia</t>
  </si>
  <si>
    <t>Desenvolvimento da Tela Jogo</t>
  </si>
  <si>
    <t>Desenvolvimento do Site Institucional</t>
  </si>
  <si>
    <t>Diagrama de Solução</t>
  </si>
  <si>
    <t>Diagrama de Negócio</t>
  </si>
  <si>
    <t>Testar VM</t>
  </si>
  <si>
    <t>Git Hub</t>
  </si>
  <si>
    <t>Slide - Apresentação</t>
  </si>
  <si>
    <t>Desenvolvimento da Dashboard</t>
  </si>
  <si>
    <t>Desenvolvimento Tela de Instruções</t>
  </si>
  <si>
    <t>Integrar Web Data Viz</t>
  </si>
  <si>
    <t>Plotar dados do Jogo</t>
  </si>
  <si>
    <t>Decidir o tema do seu projeto individual</t>
  </si>
  <si>
    <t>Coleta mias informações sobre os requisitos do Projeto Individual</t>
  </si>
  <si>
    <t>Realizar a contrução do contexto, objetivo, justificativa...)</t>
  </si>
  <si>
    <t>Definir o modelo de dados e a regra de negócio do seu jogo e manejamento do usuário</t>
  </si>
  <si>
    <t>Desenvolver no Figma Protótipo do Site Institcuional, Jogo e Dashboard.</t>
  </si>
  <si>
    <t xml:space="preserve">Decidir a interação do seu Site Institucional </t>
  </si>
  <si>
    <t>Construção do  código na linguagem JavaScript para o desenvolvimento do jogo</t>
  </si>
  <si>
    <t xml:space="preserve">Criar identidade visual do Site Institucional </t>
  </si>
  <si>
    <t xml:space="preserve">Escolher a paleta de cores seguindo as cores da identidade visual </t>
  </si>
  <si>
    <t>Escolher métricas e Kpis de acordo com o desempenho  do usuário no jogo</t>
  </si>
  <si>
    <t>Decidir fontes tipográficas para a estilização do Site e a construção da documentação entre outros.</t>
  </si>
  <si>
    <t>Passar o protótipo para desenvolvimento por meio da linguagem Html, CSS, Js.</t>
  </si>
  <si>
    <t>Desenvolver o Diagrama de Solução do Provjeto Individual</t>
  </si>
  <si>
    <t>Desenvolver o Diagrama de Negócio do Provjeto Individual</t>
  </si>
  <si>
    <t>Testar na Máquina Virtual na guest Linux Lubuntu, exibindo os dados inseridos no cadastro realizado no Site.</t>
  </si>
  <si>
    <t xml:space="preserve">Descrever mais sobre o projeto no arquivo README no Git Hub </t>
  </si>
  <si>
    <t>Desenvolver roteiro e construir slides para apresentação final.</t>
  </si>
  <si>
    <t>Desenvolver a Tela de Pontuação (Dashboard) sobre o Jogo</t>
  </si>
  <si>
    <t>Desenvolver a Tela de Instruções sobre o jogo</t>
  </si>
  <si>
    <t>Integrar dados da Api para Tela de Cadastro e Login.</t>
  </si>
  <si>
    <t>Plotar os dados com a Dashboard de acordo com o desempenho do usuário.</t>
  </si>
  <si>
    <t>Essencial</t>
  </si>
  <si>
    <t>Importante</t>
  </si>
  <si>
    <t>Desejável</t>
  </si>
  <si>
    <t xml:space="preserve">Desenvolver Página do Jogo, desenvolvendo navbar adicionando movimentação na página </t>
  </si>
  <si>
    <t>DER e Script Mysql</t>
  </si>
  <si>
    <t>DesenvolverModelo de Entidade e Relacionameto e Script no Mysql</t>
  </si>
  <si>
    <t>P</t>
  </si>
  <si>
    <t>PP</t>
  </si>
  <si>
    <t>G</t>
  </si>
  <si>
    <t>M</t>
  </si>
  <si>
    <t>GG</t>
  </si>
  <si>
    <t>Semana 1</t>
  </si>
  <si>
    <t>Semana 2</t>
  </si>
  <si>
    <t>Semana 3</t>
  </si>
  <si>
    <t>Semana 4</t>
  </si>
  <si>
    <t>Desenvolvimento Tela de Login e Cadastro</t>
  </si>
  <si>
    <t>Desenvolver Tela de Login e Castro com estilização e validação JavaScript</t>
  </si>
  <si>
    <t>Total</t>
  </si>
  <si>
    <t>Pontos Fibonacci</t>
  </si>
  <si>
    <t>Planejado</t>
  </si>
  <si>
    <t>Entregue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</si>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</sst>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36"/>
      <color theme="0"/>
      <name val="Consolas"/>
      <family val="3"/>
    </font>
    <font>
      <b/>
      <sz val="11"/>
      <color theme="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left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3" borderId="4" xfId="0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Gráfico de 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Planejado</c:v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Planilha1!$S$3:$S$7</c:f>
              <c:strCache>
                <c:ptCount val="5"/>
                <c:pt idx="0">
                  <c:v>Total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  <c:pt idx="4">
                  <c:v>Semana 4</c:v>
                </c:pt>
              </c:strCache>
            </c:strRef>
          </c:cat>
          <c:val>
            <c:numRef>
              <c:f>Planilha1!$V$3:$V$7</c:f>
              <c:numCache>
                <c:formatCode>General</c:formatCode>
                <c:ptCount val="5"/>
                <c:pt idx="0">
                  <c:v>162</c:v>
                </c:pt>
                <c:pt idx="1">
                  <c:v>120</c:v>
                </c:pt>
                <c:pt idx="2">
                  <c:v>80</c:v>
                </c:pt>
                <c:pt idx="3">
                  <c:v>40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2C-4C50-916A-185DF8475F86}"/>
            </c:ext>
          </c:extLst>
        </c:ser>
        <c:ser>
          <c:idx val="1"/>
          <c:order val="1"/>
          <c:tx>
            <c:v>Entregue</c:v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Planilha1!$S$3:$S$7</c:f>
              <c:strCache>
                <c:ptCount val="5"/>
                <c:pt idx="0">
                  <c:v>Total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  <c:pt idx="4">
                  <c:v>Semana 4</c:v>
                </c:pt>
              </c:strCache>
            </c:strRef>
          </c:cat>
          <c:val>
            <c:numRef>
              <c:f>Planilha1!$W$3:$W$7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2C-4C50-916A-185DF8475F86}"/>
            </c:ext>
          </c:extLst>
        </c:ser>
        <c:ser>
          <c:idx val="2"/>
          <c:order val="2"/>
          <c:tx>
            <c:v>Entregue</c:v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Planilha1!$S$3:$S$7</c:f>
              <c:strCache>
                <c:ptCount val="5"/>
                <c:pt idx="0">
                  <c:v>Total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  <c:pt idx="4">
                  <c:v>Semana 4</c:v>
                </c:pt>
              </c:strCache>
            </c:strRef>
          </c:cat>
          <c:val>
            <c:numRef>
              <c:f>Planilha1!$X$3:$X$7</c:f>
              <c:numCache>
                <c:formatCode>General</c:formatCode>
                <c:ptCount val="5"/>
                <c:pt idx="0">
                  <c:v>137</c:v>
                </c:pt>
                <c:pt idx="1">
                  <c:v>137</c:v>
                </c:pt>
                <c:pt idx="2">
                  <c:v>111</c:v>
                </c:pt>
                <c:pt idx="3">
                  <c:v>54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2C-4C50-916A-185DF8475F86}"/>
            </c:ext>
          </c:extLst>
        </c:ser>
        <c:ser>
          <c:idx val="3"/>
          <c:order val="3"/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strRef>
              <c:f>Planilha1!$S$3:$S$7</c:f>
              <c:strCache>
                <c:ptCount val="5"/>
                <c:pt idx="0">
                  <c:v>Total</c:v>
                </c:pt>
                <c:pt idx="1">
                  <c:v>Semana 1</c:v>
                </c:pt>
                <c:pt idx="2">
                  <c:v>Semana 2</c:v>
                </c:pt>
                <c:pt idx="3">
                  <c:v>Semana 3</c:v>
                </c:pt>
                <c:pt idx="4">
                  <c:v>Semana 4</c:v>
                </c:pt>
              </c:strCache>
            </c:strRef>
          </c:cat>
          <c:val>
            <c:numRef>
              <c:f>Planilha1!$Y$3:$Y$7</c:f>
              <c:numCache>
                <c:formatCode>General</c:formatCode>
                <c:ptCount val="5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2C-4C50-916A-185DF8475F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60653743"/>
        <c:axId val="1460655663"/>
      </c:lineChart>
      <c:catAx>
        <c:axId val="1460653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0655663"/>
        <c:crosses val="autoZero"/>
        <c:auto val="1"/>
        <c:lblAlgn val="ctr"/>
        <c:lblOffset val="100"/>
        <c:noMultiLvlLbl val="0"/>
      </c:catAx>
      <c:valAx>
        <c:axId val="146065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60653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1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38101</xdr:rowOff>
    </xdr:from>
    <xdr:to>
      <xdr:col>1</xdr:col>
      <xdr:colOff>1144502</xdr:colOff>
      <xdr:row>3</xdr:row>
      <xdr:rowOff>146498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DA3A9B7-09FD-7933-B40D-DF7B052914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38101"/>
          <a:ext cx="1670282" cy="655320"/>
        </a:xfrm>
        <a:prstGeom prst="rect">
          <a:avLst/>
        </a:prstGeom>
      </xdr:spPr>
    </xdr:pic>
    <xdr:clientData/>
  </xdr:twoCellAnchor>
  <xdr:twoCellAnchor>
    <xdr:from>
      <xdr:col>18</xdr:col>
      <xdr:colOff>7937</xdr:colOff>
      <xdr:row>7</xdr:row>
      <xdr:rowOff>140492</xdr:rowOff>
    </xdr:from>
    <xdr:to>
      <xdr:col>27</xdr:col>
      <xdr:colOff>15874</xdr:colOff>
      <xdr:row>27</xdr:row>
      <xdr:rowOff>63499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E1BE9534-28EA-F961-492F-A87BBEDFBC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CEFE8-2202-4DA9-B837-FF4F9A2C67F1}">
  <dimension ref="A1:AA31"/>
  <sheetViews>
    <sheetView tabSelected="1" topLeftCell="N7" zoomScale="118" zoomScaleNormal="53" workbookViewId="0">
      <selection activeCell="AC6" sqref="AC6"/>
    </sheetView>
  </sheetViews>
  <sheetFormatPr defaultRowHeight="14.4" x14ac:dyDescent="0.3"/>
  <cols>
    <col min="2" max="2" width="28.6640625" customWidth="1"/>
    <col min="7" max="7" width="49.5546875" customWidth="1"/>
  </cols>
  <sheetData>
    <row r="1" spans="1:27" x14ac:dyDescent="0.3">
      <c r="A1" s="3" t="s">
        <v>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S1" s="14"/>
      <c r="T1" s="15" t="s">
        <v>69</v>
      </c>
      <c r="U1" s="15"/>
      <c r="V1" s="15" t="s">
        <v>70</v>
      </c>
      <c r="W1" s="15"/>
      <c r="X1" s="15" t="s">
        <v>71</v>
      </c>
      <c r="Y1" s="15"/>
      <c r="Z1" s="15" t="s">
        <v>72</v>
      </c>
      <c r="AA1" s="15"/>
    </row>
    <row r="2" spans="1:27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S2" s="14"/>
      <c r="T2" s="15"/>
      <c r="U2" s="15"/>
      <c r="V2" s="15"/>
      <c r="W2" s="15"/>
      <c r="X2" s="15"/>
      <c r="Y2" s="15"/>
      <c r="Z2" s="15"/>
      <c r="AA2" s="15"/>
    </row>
    <row r="3" spans="1:27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S3" s="16" t="s">
        <v>68</v>
      </c>
      <c r="T3" s="12">
        <f>SUM(J6:K29)</f>
        <v>162</v>
      </c>
      <c r="U3" s="13"/>
      <c r="V3" s="12">
        <v>162</v>
      </c>
      <c r="W3" s="13"/>
      <c r="X3" s="12">
        <f>X6+57+26</f>
        <v>137</v>
      </c>
      <c r="Y3" s="13"/>
      <c r="Z3" s="12">
        <v>0</v>
      </c>
      <c r="AA3" s="13"/>
    </row>
    <row r="4" spans="1:27" x14ac:dyDescent="0.3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S4" s="16" t="s">
        <v>62</v>
      </c>
      <c r="T4" s="12">
        <f>J6+J7+J12+J14+J15+J16+J17+J11</f>
        <v>33</v>
      </c>
      <c r="U4" s="13"/>
      <c r="V4" s="12">
        <f>V3-42</f>
        <v>120</v>
      </c>
      <c r="W4" s="13"/>
      <c r="X4" s="12">
        <f>162-25</f>
        <v>137</v>
      </c>
      <c r="Y4" s="13"/>
      <c r="Z4" s="12">
        <f>J11</f>
        <v>8</v>
      </c>
      <c r="AA4" s="13"/>
    </row>
    <row r="5" spans="1:27" x14ac:dyDescent="0.3">
      <c r="A5" s="8" t="s">
        <v>0</v>
      </c>
      <c r="B5" s="9"/>
      <c r="C5" s="8" t="s">
        <v>1</v>
      </c>
      <c r="D5" s="10"/>
      <c r="E5" s="10"/>
      <c r="F5" s="10"/>
      <c r="G5" s="9"/>
      <c r="H5" s="8" t="s">
        <v>2</v>
      </c>
      <c r="I5" s="9"/>
      <c r="J5" s="8" t="s">
        <v>3</v>
      </c>
      <c r="K5" s="9"/>
      <c r="L5" s="8" t="s">
        <v>4</v>
      </c>
      <c r="M5" s="9"/>
      <c r="N5" s="8" t="s">
        <v>5</v>
      </c>
      <c r="O5" s="9"/>
      <c r="P5" s="8" t="s">
        <v>6</v>
      </c>
      <c r="Q5" s="9"/>
      <c r="S5" s="16" t="s">
        <v>63</v>
      </c>
      <c r="T5" s="12">
        <f>J8+J9+J20+J28</f>
        <v>36</v>
      </c>
      <c r="U5" s="13"/>
      <c r="V5" s="12">
        <f>V4-40</f>
        <v>80</v>
      </c>
      <c r="W5" s="13"/>
      <c r="X5" s="12">
        <f>137-26</f>
        <v>111</v>
      </c>
      <c r="Y5" s="13"/>
      <c r="Z5" s="12">
        <f>J8+J9</f>
        <v>18</v>
      </c>
      <c r="AA5" s="13"/>
    </row>
    <row r="6" spans="1:27" x14ac:dyDescent="0.3">
      <c r="A6" s="2" t="s">
        <v>8</v>
      </c>
      <c r="B6" s="2"/>
      <c r="C6" s="2" t="s">
        <v>30</v>
      </c>
      <c r="D6" s="2"/>
      <c r="E6" s="2"/>
      <c r="F6" s="2"/>
      <c r="G6" s="2"/>
      <c r="H6" s="5" t="s">
        <v>51</v>
      </c>
      <c r="I6" s="5"/>
      <c r="J6" s="5">
        <v>3</v>
      </c>
      <c r="K6" s="5"/>
      <c r="L6" s="5" t="s">
        <v>57</v>
      </c>
      <c r="M6" s="5"/>
      <c r="N6" s="5">
        <v>1</v>
      </c>
      <c r="O6" s="5"/>
      <c r="P6" s="5" t="s">
        <v>62</v>
      </c>
      <c r="Q6" s="5"/>
      <c r="S6" s="16" t="s">
        <v>64</v>
      </c>
      <c r="T6" s="12">
        <f>J10+J18+J19+J26+J27</f>
        <v>34</v>
      </c>
      <c r="U6" s="13"/>
      <c r="V6" s="12">
        <f>V5-40</f>
        <v>40</v>
      </c>
      <c r="W6" s="13"/>
      <c r="X6" s="12">
        <f xml:space="preserve"> X5 - (J8+J9+J10+J18+J19+J26+J27+J27)</f>
        <v>54</v>
      </c>
      <c r="Y6" s="13"/>
      <c r="Z6" s="12">
        <v>14</v>
      </c>
      <c r="AA6" s="13"/>
    </row>
    <row r="7" spans="1:27" x14ac:dyDescent="0.3">
      <c r="A7" s="2" t="s">
        <v>9</v>
      </c>
      <c r="B7" s="2"/>
      <c r="C7" s="2" t="s">
        <v>31</v>
      </c>
      <c r="D7" s="2"/>
      <c r="E7" s="2"/>
      <c r="F7" s="2"/>
      <c r="G7" s="2"/>
      <c r="H7" s="5" t="s">
        <v>52</v>
      </c>
      <c r="I7" s="5"/>
      <c r="J7" s="5">
        <v>3</v>
      </c>
      <c r="K7" s="5"/>
      <c r="L7" s="5" t="s">
        <v>57</v>
      </c>
      <c r="M7" s="5"/>
      <c r="N7" s="5">
        <v>2</v>
      </c>
      <c r="O7" s="5"/>
      <c r="P7" s="5" t="s">
        <v>62</v>
      </c>
      <c r="Q7" s="5"/>
      <c r="S7" s="16" t="s">
        <v>65</v>
      </c>
      <c r="T7" s="12">
        <f>J13+J21+J22+J23+J24+J25+J29</f>
        <v>59</v>
      </c>
      <c r="U7" s="13"/>
      <c r="V7" s="12">
        <f>V6-40</f>
        <v>0</v>
      </c>
      <c r="W7" s="13"/>
      <c r="X7" s="12">
        <v>0</v>
      </c>
      <c r="Y7" s="13"/>
      <c r="Z7" s="12">
        <v>0</v>
      </c>
      <c r="AA7" s="13"/>
    </row>
    <row r="8" spans="1:27" x14ac:dyDescent="0.3">
      <c r="A8" s="2" t="s">
        <v>10</v>
      </c>
      <c r="B8" s="2"/>
      <c r="C8" s="2" t="s">
        <v>32</v>
      </c>
      <c r="D8" s="2"/>
      <c r="E8" s="2"/>
      <c r="F8" s="2"/>
      <c r="G8" s="2"/>
      <c r="H8" s="5" t="s">
        <v>51</v>
      </c>
      <c r="I8" s="5"/>
      <c r="J8" s="5">
        <v>5</v>
      </c>
      <c r="K8" s="5"/>
      <c r="L8" s="5" t="s">
        <v>58</v>
      </c>
      <c r="M8" s="5"/>
      <c r="N8" s="5">
        <v>1</v>
      </c>
      <c r="O8" s="5"/>
      <c r="P8" s="5" t="s">
        <v>63</v>
      </c>
      <c r="Q8" s="5"/>
    </row>
    <row r="9" spans="1:27" x14ac:dyDescent="0.3">
      <c r="A9" s="2" t="s">
        <v>11</v>
      </c>
      <c r="B9" s="2"/>
      <c r="C9" s="2" t="s">
        <v>33</v>
      </c>
      <c r="D9" s="2"/>
      <c r="E9" s="2"/>
      <c r="F9" s="2"/>
      <c r="G9" s="2"/>
      <c r="H9" s="5" t="s">
        <v>51</v>
      </c>
      <c r="I9" s="5"/>
      <c r="J9" s="5">
        <v>13</v>
      </c>
      <c r="K9" s="5"/>
      <c r="L9" s="5" t="s">
        <v>59</v>
      </c>
      <c r="M9" s="5"/>
      <c r="N9" s="5">
        <v>2</v>
      </c>
      <c r="O9" s="5"/>
      <c r="P9" s="5" t="s">
        <v>63</v>
      </c>
      <c r="Q9" s="5"/>
    </row>
    <row r="10" spans="1:27" x14ac:dyDescent="0.3">
      <c r="A10" s="2" t="s">
        <v>55</v>
      </c>
      <c r="B10" s="2"/>
      <c r="C10" s="2" t="s">
        <v>56</v>
      </c>
      <c r="D10" s="2"/>
      <c r="E10" s="2"/>
      <c r="F10" s="2"/>
      <c r="G10" s="2"/>
      <c r="H10" s="5" t="s">
        <v>51</v>
      </c>
      <c r="I10" s="5"/>
      <c r="J10" s="5">
        <v>8</v>
      </c>
      <c r="K10" s="5"/>
      <c r="L10" s="5" t="s">
        <v>60</v>
      </c>
      <c r="M10" s="5"/>
      <c r="N10" s="5">
        <v>2</v>
      </c>
      <c r="O10" s="5"/>
      <c r="P10" s="5" t="s">
        <v>64</v>
      </c>
      <c r="Q10" s="5"/>
    </row>
    <row r="11" spans="1:27" x14ac:dyDescent="0.3">
      <c r="A11" s="2" t="s">
        <v>12</v>
      </c>
      <c r="B11" s="2"/>
      <c r="C11" s="2" t="s">
        <v>34</v>
      </c>
      <c r="D11" s="2"/>
      <c r="E11" s="2"/>
      <c r="F11" s="2"/>
      <c r="G11" s="2"/>
      <c r="H11" s="5" t="s">
        <v>52</v>
      </c>
      <c r="I11" s="5"/>
      <c r="J11" s="5">
        <v>8</v>
      </c>
      <c r="K11" s="5"/>
      <c r="L11" s="5" t="s">
        <v>60</v>
      </c>
      <c r="M11" s="5"/>
      <c r="N11" s="5">
        <v>1</v>
      </c>
      <c r="O11" s="5"/>
      <c r="P11" s="5" t="s">
        <v>62</v>
      </c>
      <c r="Q11" s="5"/>
    </row>
    <row r="12" spans="1:27" x14ac:dyDescent="0.3">
      <c r="A12" s="2" t="s">
        <v>13</v>
      </c>
      <c r="B12" s="2"/>
      <c r="C12" s="2" t="s">
        <v>35</v>
      </c>
      <c r="D12" s="2"/>
      <c r="E12" s="2"/>
      <c r="F12" s="2"/>
      <c r="G12" s="2"/>
      <c r="H12" s="5" t="s">
        <v>51</v>
      </c>
      <c r="I12" s="5"/>
      <c r="J12" s="5">
        <v>5</v>
      </c>
      <c r="K12" s="5"/>
      <c r="L12" s="5" t="s">
        <v>57</v>
      </c>
      <c r="M12" s="5"/>
      <c r="N12" s="5">
        <v>1</v>
      </c>
      <c r="O12" s="5"/>
      <c r="P12" s="5" t="s">
        <v>62</v>
      </c>
      <c r="Q12" s="5"/>
      <c r="U12" s="11"/>
    </row>
    <row r="13" spans="1:27" x14ac:dyDescent="0.3">
      <c r="A13" s="2" t="s">
        <v>14</v>
      </c>
      <c r="B13" s="2"/>
      <c r="C13" s="2" t="s">
        <v>36</v>
      </c>
      <c r="D13" s="2"/>
      <c r="E13" s="2"/>
      <c r="F13" s="2"/>
      <c r="G13" s="2"/>
      <c r="H13" s="5" t="s">
        <v>53</v>
      </c>
      <c r="I13" s="5"/>
      <c r="J13" s="5">
        <v>21</v>
      </c>
      <c r="K13" s="5"/>
      <c r="L13" s="5" t="s">
        <v>61</v>
      </c>
      <c r="M13" s="5"/>
      <c r="N13" s="5">
        <v>1</v>
      </c>
      <c r="O13" s="5"/>
      <c r="P13" s="5" t="s">
        <v>65</v>
      </c>
      <c r="Q13" s="5"/>
    </row>
    <row r="14" spans="1:27" x14ac:dyDescent="0.3">
      <c r="A14" s="2" t="s">
        <v>15</v>
      </c>
      <c r="B14" s="2"/>
      <c r="C14" s="2" t="s">
        <v>37</v>
      </c>
      <c r="D14" s="2"/>
      <c r="E14" s="2"/>
      <c r="F14" s="2"/>
      <c r="G14" s="2"/>
      <c r="H14" s="5" t="s">
        <v>53</v>
      </c>
      <c r="I14" s="5"/>
      <c r="J14" s="5">
        <v>3</v>
      </c>
      <c r="K14" s="5"/>
      <c r="L14" s="5" t="s">
        <v>57</v>
      </c>
      <c r="M14" s="5"/>
      <c r="N14" s="5">
        <v>3</v>
      </c>
      <c r="O14" s="5"/>
      <c r="P14" s="5" t="s">
        <v>62</v>
      </c>
      <c r="Q14" s="5"/>
    </row>
    <row r="15" spans="1:27" x14ac:dyDescent="0.3">
      <c r="A15" s="2" t="s">
        <v>16</v>
      </c>
      <c r="B15" s="2"/>
      <c r="C15" s="2" t="s">
        <v>38</v>
      </c>
      <c r="D15" s="2"/>
      <c r="E15" s="2"/>
      <c r="F15" s="2"/>
      <c r="G15" s="2"/>
      <c r="H15" s="5" t="s">
        <v>53</v>
      </c>
      <c r="I15" s="5"/>
      <c r="J15" s="5">
        <v>3</v>
      </c>
      <c r="K15" s="5"/>
      <c r="L15" s="5" t="s">
        <v>57</v>
      </c>
      <c r="M15" s="5"/>
      <c r="N15" s="5">
        <v>3</v>
      </c>
      <c r="O15" s="5"/>
      <c r="P15" s="5" t="s">
        <v>62</v>
      </c>
      <c r="Q15" s="5"/>
    </row>
    <row r="16" spans="1:27" x14ac:dyDescent="0.3">
      <c r="A16" s="2" t="s">
        <v>17</v>
      </c>
      <c r="B16" s="2"/>
      <c r="C16" s="2" t="s">
        <v>39</v>
      </c>
      <c r="D16" s="2"/>
      <c r="E16" s="2"/>
      <c r="F16" s="2"/>
      <c r="G16" s="2"/>
      <c r="H16" s="5" t="s">
        <v>51</v>
      </c>
      <c r="I16" s="5"/>
      <c r="J16" s="5">
        <v>5</v>
      </c>
      <c r="K16" s="5"/>
      <c r="L16" s="5" t="s">
        <v>58</v>
      </c>
      <c r="M16" s="5"/>
      <c r="N16" s="5">
        <v>1</v>
      </c>
      <c r="O16" s="5"/>
      <c r="P16" s="5" t="s">
        <v>62</v>
      </c>
      <c r="Q16" s="5"/>
    </row>
    <row r="17" spans="1:17" x14ac:dyDescent="0.3">
      <c r="A17" s="2" t="s">
        <v>18</v>
      </c>
      <c r="B17" s="2"/>
      <c r="C17" s="2" t="s">
        <v>40</v>
      </c>
      <c r="D17" s="2"/>
      <c r="E17" s="2"/>
      <c r="F17" s="2"/>
      <c r="G17" s="2"/>
      <c r="H17" s="5" t="s">
        <v>53</v>
      </c>
      <c r="I17" s="5"/>
      <c r="J17" s="5">
        <v>3</v>
      </c>
      <c r="K17" s="5"/>
      <c r="L17" s="5" t="s">
        <v>57</v>
      </c>
      <c r="M17" s="5"/>
      <c r="N17" s="5">
        <v>3</v>
      </c>
      <c r="O17" s="5"/>
      <c r="P17" s="5" t="s">
        <v>62</v>
      </c>
      <c r="Q17" s="5"/>
    </row>
    <row r="18" spans="1:17" x14ac:dyDescent="0.3">
      <c r="A18" s="2" t="s">
        <v>19</v>
      </c>
      <c r="B18" s="2"/>
      <c r="C18" s="2" t="s">
        <v>54</v>
      </c>
      <c r="D18" s="2"/>
      <c r="E18" s="2"/>
      <c r="F18" s="2"/>
      <c r="G18" s="2"/>
      <c r="H18" s="5" t="s">
        <v>52</v>
      </c>
      <c r="I18" s="5"/>
      <c r="J18" s="5">
        <v>5</v>
      </c>
      <c r="K18" s="5"/>
      <c r="L18" s="5" t="s">
        <v>58</v>
      </c>
      <c r="M18" s="5"/>
      <c r="N18" s="5">
        <v>2</v>
      </c>
      <c r="O18" s="5"/>
      <c r="P18" s="5" t="s">
        <v>64</v>
      </c>
      <c r="Q18" s="5"/>
    </row>
    <row r="19" spans="1:17" x14ac:dyDescent="0.3">
      <c r="A19" s="2" t="s">
        <v>20</v>
      </c>
      <c r="B19" s="2"/>
      <c r="C19" s="2" t="s">
        <v>41</v>
      </c>
      <c r="D19" s="2"/>
      <c r="E19" s="2"/>
      <c r="F19" s="2"/>
      <c r="G19" s="2"/>
      <c r="H19" s="5" t="s">
        <v>51</v>
      </c>
      <c r="I19" s="5"/>
      <c r="J19" s="5">
        <v>8</v>
      </c>
      <c r="K19" s="5"/>
      <c r="L19" s="5" t="s">
        <v>60</v>
      </c>
      <c r="M19" s="5"/>
      <c r="N19" s="5">
        <v>1</v>
      </c>
      <c r="O19" s="5"/>
      <c r="P19" s="5" t="s">
        <v>64</v>
      </c>
      <c r="Q19" s="5"/>
    </row>
    <row r="20" spans="1:17" x14ac:dyDescent="0.3">
      <c r="A20" s="2" t="s">
        <v>66</v>
      </c>
      <c r="B20" s="2"/>
      <c r="C20" s="2" t="s">
        <v>67</v>
      </c>
      <c r="D20" s="2"/>
      <c r="E20" s="2"/>
      <c r="F20" s="2"/>
      <c r="G20" s="2"/>
      <c r="H20" s="5" t="s">
        <v>51</v>
      </c>
      <c r="I20" s="5"/>
      <c r="J20" s="5">
        <v>5</v>
      </c>
      <c r="K20" s="5"/>
      <c r="L20" s="5" t="s">
        <v>57</v>
      </c>
      <c r="M20" s="5"/>
      <c r="N20" s="5">
        <v>1</v>
      </c>
      <c r="O20" s="5"/>
      <c r="P20" s="5" t="s">
        <v>63</v>
      </c>
      <c r="Q20" s="5"/>
    </row>
    <row r="21" spans="1:17" x14ac:dyDescent="0.3">
      <c r="A21" s="2" t="s">
        <v>21</v>
      </c>
      <c r="B21" s="2"/>
      <c r="C21" s="2" t="s">
        <v>42</v>
      </c>
      <c r="D21" s="2"/>
      <c r="E21" s="2"/>
      <c r="F21" s="2"/>
      <c r="G21" s="2"/>
      <c r="H21" s="5" t="s">
        <v>51</v>
      </c>
      <c r="I21" s="5"/>
      <c r="J21" s="5">
        <v>3</v>
      </c>
      <c r="K21" s="5"/>
      <c r="L21" s="5" t="s">
        <v>58</v>
      </c>
      <c r="M21" s="5"/>
      <c r="N21" s="5">
        <v>1</v>
      </c>
      <c r="O21" s="5"/>
      <c r="P21" s="5" t="s">
        <v>65</v>
      </c>
      <c r="Q21" s="5"/>
    </row>
    <row r="22" spans="1:17" x14ac:dyDescent="0.3">
      <c r="A22" s="2" t="s">
        <v>22</v>
      </c>
      <c r="B22" s="2"/>
      <c r="C22" s="2" t="s">
        <v>43</v>
      </c>
      <c r="D22" s="2"/>
      <c r="E22" s="2"/>
      <c r="F22" s="2"/>
      <c r="G22" s="2"/>
      <c r="H22" s="5" t="s">
        <v>51</v>
      </c>
      <c r="I22" s="5"/>
      <c r="J22" s="5">
        <v>3</v>
      </c>
      <c r="K22" s="5"/>
      <c r="L22" s="5" t="s">
        <v>58</v>
      </c>
      <c r="M22" s="5"/>
      <c r="N22" s="5">
        <v>1</v>
      </c>
      <c r="O22" s="5"/>
      <c r="P22" s="5" t="s">
        <v>65</v>
      </c>
      <c r="Q22" s="5"/>
    </row>
    <row r="23" spans="1:17" x14ac:dyDescent="0.3">
      <c r="A23" s="2" t="s">
        <v>23</v>
      </c>
      <c r="B23" s="2"/>
      <c r="C23" s="2" t="s">
        <v>44</v>
      </c>
      <c r="D23" s="2"/>
      <c r="E23" s="2"/>
      <c r="F23" s="2"/>
      <c r="G23" s="2"/>
      <c r="H23" s="5" t="s">
        <v>51</v>
      </c>
      <c r="I23" s="5"/>
      <c r="J23" s="5">
        <v>5</v>
      </c>
      <c r="K23" s="5"/>
      <c r="L23" s="5" t="s">
        <v>57</v>
      </c>
      <c r="M23" s="5"/>
      <c r="N23" s="5">
        <v>1</v>
      </c>
      <c r="O23" s="5"/>
      <c r="P23" s="5" t="s">
        <v>65</v>
      </c>
      <c r="Q23" s="5"/>
    </row>
    <row r="24" spans="1:17" x14ac:dyDescent="0.3">
      <c r="A24" s="2" t="s">
        <v>24</v>
      </c>
      <c r="B24" s="2"/>
      <c r="C24" s="2" t="s">
        <v>45</v>
      </c>
      <c r="D24" s="2"/>
      <c r="E24" s="2"/>
      <c r="F24" s="2"/>
      <c r="G24" s="2"/>
      <c r="H24" s="5" t="s">
        <v>53</v>
      </c>
      <c r="I24" s="5"/>
      <c r="J24" s="5">
        <v>3</v>
      </c>
      <c r="K24" s="5"/>
      <c r="L24" s="5" t="s">
        <v>58</v>
      </c>
      <c r="M24" s="5"/>
      <c r="N24" s="5">
        <v>3</v>
      </c>
      <c r="O24" s="5"/>
      <c r="P24" s="5" t="s">
        <v>65</v>
      </c>
      <c r="Q24" s="5"/>
    </row>
    <row r="25" spans="1:17" x14ac:dyDescent="0.3">
      <c r="A25" s="2" t="s">
        <v>25</v>
      </c>
      <c r="B25" s="2"/>
      <c r="C25" s="2" t="s">
        <v>46</v>
      </c>
      <c r="D25" s="2"/>
      <c r="E25" s="2"/>
      <c r="F25" s="2"/>
      <c r="G25" s="2"/>
      <c r="H25" s="5" t="s">
        <v>52</v>
      </c>
      <c r="I25" s="5"/>
      <c r="J25" s="5">
        <v>3</v>
      </c>
      <c r="K25" s="5"/>
      <c r="L25" s="5" t="s">
        <v>58</v>
      </c>
      <c r="M25" s="5"/>
      <c r="N25" s="5">
        <v>2</v>
      </c>
      <c r="O25" s="5"/>
      <c r="P25" s="5" t="s">
        <v>65</v>
      </c>
      <c r="Q25" s="5"/>
    </row>
    <row r="26" spans="1:17" x14ac:dyDescent="0.3">
      <c r="A26" s="2" t="s">
        <v>26</v>
      </c>
      <c r="B26" s="2"/>
      <c r="C26" s="2" t="s">
        <v>47</v>
      </c>
      <c r="D26" s="2"/>
      <c r="E26" s="2"/>
      <c r="F26" s="2"/>
      <c r="G26" s="2"/>
      <c r="H26" s="5" t="s">
        <v>51</v>
      </c>
      <c r="I26" s="5"/>
      <c r="J26" s="5">
        <v>8</v>
      </c>
      <c r="K26" s="5"/>
      <c r="L26" s="5" t="s">
        <v>60</v>
      </c>
      <c r="M26" s="5"/>
      <c r="N26" s="5">
        <v>1</v>
      </c>
      <c r="O26" s="5"/>
      <c r="P26" s="5" t="s">
        <v>64</v>
      </c>
      <c r="Q26" s="5"/>
    </row>
    <row r="27" spans="1:17" x14ac:dyDescent="0.3">
      <c r="A27" s="2" t="s">
        <v>27</v>
      </c>
      <c r="B27" s="2"/>
      <c r="C27" s="2" t="s">
        <v>48</v>
      </c>
      <c r="D27" s="2"/>
      <c r="E27" s="2"/>
      <c r="F27" s="2"/>
      <c r="G27" s="2"/>
      <c r="H27" s="5" t="s">
        <v>53</v>
      </c>
      <c r="I27" s="5"/>
      <c r="J27" s="5">
        <v>5</v>
      </c>
      <c r="K27" s="5"/>
      <c r="L27" s="5" t="s">
        <v>57</v>
      </c>
      <c r="M27" s="5"/>
      <c r="N27" s="5">
        <v>2</v>
      </c>
      <c r="O27" s="5"/>
      <c r="P27" s="5" t="s">
        <v>64</v>
      </c>
      <c r="Q27" s="5"/>
    </row>
    <row r="28" spans="1:17" x14ac:dyDescent="0.3">
      <c r="A28" s="2" t="s">
        <v>28</v>
      </c>
      <c r="B28" s="2"/>
      <c r="C28" s="2" t="s">
        <v>49</v>
      </c>
      <c r="D28" s="2"/>
      <c r="E28" s="2"/>
      <c r="F28" s="2"/>
      <c r="G28" s="2"/>
      <c r="H28" s="5" t="s">
        <v>51</v>
      </c>
      <c r="I28" s="5"/>
      <c r="J28" s="5">
        <v>13</v>
      </c>
      <c r="K28" s="5"/>
      <c r="L28" s="5" t="s">
        <v>59</v>
      </c>
      <c r="M28" s="5"/>
      <c r="N28" s="5">
        <v>1</v>
      </c>
      <c r="O28" s="5"/>
      <c r="P28" s="5" t="s">
        <v>63</v>
      </c>
      <c r="Q28" s="5"/>
    </row>
    <row r="29" spans="1:17" x14ac:dyDescent="0.3">
      <c r="A29" s="2" t="s">
        <v>29</v>
      </c>
      <c r="B29" s="2"/>
      <c r="C29" s="2" t="s">
        <v>50</v>
      </c>
      <c r="D29" s="2"/>
      <c r="E29" s="2"/>
      <c r="F29" s="2"/>
      <c r="G29" s="2"/>
      <c r="H29" s="5" t="s">
        <v>51</v>
      </c>
      <c r="I29" s="5"/>
      <c r="J29" s="5">
        <v>21</v>
      </c>
      <c r="K29" s="5"/>
      <c r="L29" s="5" t="s">
        <v>61</v>
      </c>
      <c r="M29" s="5"/>
      <c r="N29" s="5">
        <v>1</v>
      </c>
      <c r="O29" s="5"/>
      <c r="P29" s="5" t="s">
        <v>65</v>
      </c>
      <c r="Q29" s="5"/>
    </row>
    <row r="30" spans="1:17" x14ac:dyDescent="0.3">
      <c r="A30" s="7"/>
      <c r="B30" s="7"/>
      <c r="C30" s="7"/>
      <c r="D30" s="7"/>
      <c r="E30" s="7"/>
      <c r="F30" s="7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</sheetData>
  <mergeCells count="215">
    <mergeCell ref="X5:Y5"/>
    <mergeCell ref="X6:Y6"/>
    <mergeCell ref="X7:Y7"/>
    <mergeCell ref="Z3:AA3"/>
    <mergeCell ref="Z4:AA4"/>
    <mergeCell ref="Z5:AA5"/>
    <mergeCell ref="Z6:AA6"/>
    <mergeCell ref="Z7:AA7"/>
    <mergeCell ref="A20:B20"/>
    <mergeCell ref="C20:G20"/>
    <mergeCell ref="H20:I20"/>
    <mergeCell ref="J20:K20"/>
    <mergeCell ref="L20:M20"/>
    <mergeCell ref="N20:O20"/>
    <mergeCell ref="P20:Q20"/>
    <mergeCell ref="Z1:AA2"/>
    <mergeCell ref="X1:Y2"/>
    <mergeCell ref="V1:W2"/>
    <mergeCell ref="T1:U2"/>
    <mergeCell ref="S1:S2"/>
    <mergeCell ref="T3:U3"/>
    <mergeCell ref="T4:U4"/>
    <mergeCell ref="T5:U5"/>
    <mergeCell ref="T6:U6"/>
    <mergeCell ref="T7:U7"/>
    <mergeCell ref="V3:W3"/>
    <mergeCell ref="V4:W4"/>
    <mergeCell ref="V5:W5"/>
    <mergeCell ref="V6:W6"/>
    <mergeCell ref="V7:W7"/>
    <mergeCell ref="X3:Y3"/>
    <mergeCell ref="X4:Y4"/>
    <mergeCell ref="N29:O29"/>
    <mergeCell ref="L29:M29"/>
    <mergeCell ref="J29:K29"/>
    <mergeCell ref="H29:I29"/>
    <mergeCell ref="C29:G29"/>
    <mergeCell ref="A29:B29"/>
    <mergeCell ref="P30:Q30"/>
    <mergeCell ref="N30:O30"/>
    <mergeCell ref="L30:M30"/>
    <mergeCell ref="J30:K30"/>
    <mergeCell ref="H30:I30"/>
    <mergeCell ref="C30:G30"/>
    <mergeCell ref="A30:B30"/>
    <mergeCell ref="P29:Q29"/>
    <mergeCell ref="P5:Q5"/>
    <mergeCell ref="N5:O5"/>
    <mergeCell ref="L5:M5"/>
    <mergeCell ref="J5:K5"/>
    <mergeCell ref="H5:I5"/>
    <mergeCell ref="C5:G5"/>
    <mergeCell ref="A5:B5"/>
    <mergeCell ref="A1:Q4"/>
    <mergeCell ref="A6:B6"/>
    <mergeCell ref="A7:B7"/>
    <mergeCell ref="C7:G7"/>
    <mergeCell ref="H7:I7"/>
    <mergeCell ref="J7:K7"/>
    <mergeCell ref="L7:M7"/>
    <mergeCell ref="P6:Q6"/>
    <mergeCell ref="N6:O6"/>
    <mergeCell ref="L6:M6"/>
    <mergeCell ref="J6:K6"/>
    <mergeCell ref="H6:I6"/>
    <mergeCell ref="C6:G6"/>
    <mergeCell ref="N7:O7"/>
    <mergeCell ref="P7:Q7"/>
    <mergeCell ref="A8:B8"/>
    <mergeCell ref="C8:G8"/>
    <mergeCell ref="H8:I8"/>
    <mergeCell ref="J8:K8"/>
    <mergeCell ref="L8:M8"/>
    <mergeCell ref="N8:O8"/>
    <mergeCell ref="P8:Q8"/>
    <mergeCell ref="P9:Q9"/>
    <mergeCell ref="A11:B11"/>
    <mergeCell ref="C11:G11"/>
    <mergeCell ref="H11:I11"/>
    <mergeCell ref="J11:K11"/>
    <mergeCell ref="L11:M11"/>
    <mergeCell ref="N11:O11"/>
    <mergeCell ref="P11:Q11"/>
    <mergeCell ref="A9:B9"/>
    <mergeCell ref="C9:G9"/>
    <mergeCell ref="H9:I9"/>
    <mergeCell ref="J9:K9"/>
    <mergeCell ref="L9:M9"/>
    <mergeCell ref="N9:O9"/>
    <mergeCell ref="L10:M10"/>
    <mergeCell ref="J10:K10"/>
    <mergeCell ref="N10:O10"/>
    <mergeCell ref="P10:Q10"/>
    <mergeCell ref="H10:I10"/>
    <mergeCell ref="C10:G10"/>
    <mergeCell ref="A10:B10"/>
    <mergeCell ref="P12:Q12"/>
    <mergeCell ref="A13:B13"/>
    <mergeCell ref="C13:G13"/>
    <mergeCell ref="H13:I13"/>
    <mergeCell ref="J13:K13"/>
    <mergeCell ref="L13:M13"/>
    <mergeCell ref="N13:O13"/>
    <mergeCell ref="P13:Q13"/>
    <mergeCell ref="A12:B12"/>
    <mergeCell ref="C12:G12"/>
    <mergeCell ref="H12:I12"/>
    <mergeCell ref="J12:K12"/>
    <mergeCell ref="L12:M12"/>
    <mergeCell ref="N12:O12"/>
    <mergeCell ref="P14:Q14"/>
    <mergeCell ref="A15:B15"/>
    <mergeCell ref="C15:G15"/>
    <mergeCell ref="H15:I15"/>
    <mergeCell ref="J15:K15"/>
    <mergeCell ref="L15:M15"/>
    <mergeCell ref="N15:O15"/>
    <mergeCell ref="P15:Q15"/>
    <mergeCell ref="A14:B14"/>
    <mergeCell ref="C14:G14"/>
    <mergeCell ref="H14:I14"/>
    <mergeCell ref="J14:K14"/>
    <mergeCell ref="L14:M14"/>
    <mergeCell ref="N14:O14"/>
    <mergeCell ref="P16:Q16"/>
    <mergeCell ref="A17:B17"/>
    <mergeCell ref="C17:G17"/>
    <mergeCell ref="H17:I17"/>
    <mergeCell ref="J17:K17"/>
    <mergeCell ref="L17:M17"/>
    <mergeCell ref="N17:O17"/>
    <mergeCell ref="P17:Q17"/>
    <mergeCell ref="A16:B16"/>
    <mergeCell ref="C16:G16"/>
    <mergeCell ref="H16:I16"/>
    <mergeCell ref="J16:K16"/>
    <mergeCell ref="L16:M16"/>
    <mergeCell ref="N16:O16"/>
    <mergeCell ref="P18:Q18"/>
    <mergeCell ref="A19:B19"/>
    <mergeCell ref="C19:G19"/>
    <mergeCell ref="H19:I19"/>
    <mergeCell ref="J19:K19"/>
    <mergeCell ref="L19:M19"/>
    <mergeCell ref="N19:O19"/>
    <mergeCell ref="P19:Q19"/>
    <mergeCell ref="A18:B18"/>
    <mergeCell ref="C18:G18"/>
    <mergeCell ref="H18:I18"/>
    <mergeCell ref="J18:K18"/>
    <mergeCell ref="L18:M18"/>
    <mergeCell ref="N18:O18"/>
    <mergeCell ref="P21:Q21"/>
    <mergeCell ref="A22:B22"/>
    <mergeCell ref="C22:G22"/>
    <mergeCell ref="H22:I22"/>
    <mergeCell ref="J22:K22"/>
    <mergeCell ref="L22:M22"/>
    <mergeCell ref="N22:O22"/>
    <mergeCell ref="P22:Q22"/>
    <mergeCell ref="A21:B21"/>
    <mergeCell ref="C21:G21"/>
    <mergeCell ref="H21:I21"/>
    <mergeCell ref="J21:K21"/>
    <mergeCell ref="L21:M21"/>
    <mergeCell ref="N21:O21"/>
    <mergeCell ref="P23:Q23"/>
    <mergeCell ref="A24:B24"/>
    <mergeCell ref="C24:G24"/>
    <mergeCell ref="H24:I24"/>
    <mergeCell ref="J24:K24"/>
    <mergeCell ref="L24:M24"/>
    <mergeCell ref="N24:O24"/>
    <mergeCell ref="P24:Q24"/>
    <mergeCell ref="A23:B23"/>
    <mergeCell ref="C23:G23"/>
    <mergeCell ref="H23:I23"/>
    <mergeCell ref="J23:K23"/>
    <mergeCell ref="L23:M23"/>
    <mergeCell ref="N23:O23"/>
    <mergeCell ref="P25:Q25"/>
    <mergeCell ref="C26:G26"/>
    <mergeCell ref="H26:I26"/>
    <mergeCell ref="J26:K26"/>
    <mergeCell ref="L26:M26"/>
    <mergeCell ref="N26:O26"/>
    <mergeCell ref="P26:Q26"/>
    <mergeCell ref="A25:B25"/>
    <mergeCell ref="C25:G25"/>
    <mergeCell ref="H25:I25"/>
    <mergeCell ref="J25:K25"/>
    <mergeCell ref="L25:M25"/>
    <mergeCell ref="N25:O25"/>
    <mergeCell ref="A26:B26"/>
    <mergeCell ref="C28:G28"/>
    <mergeCell ref="H28:I28"/>
    <mergeCell ref="J28:K28"/>
    <mergeCell ref="L28:M28"/>
    <mergeCell ref="N28:O28"/>
    <mergeCell ref="P28:Q28"/>
    <mergeCell ref="A27:B27"/>
    <mergeCell ref="C27:G27"/>
    <mergeCell ref="H27:I27"/>
    <mergeCell ref="J27:K27"/>
    <mergeCell ref="L27:M27"/>
    <mergeCell ref="N27:O27"/>
    <mergeCell ref="A28:B28"/>
    <mergeCell ref="P27:Q27"/>
    <mergeCell ref="P31:Q31"/>
    <mergeCell ref="A31:B31"/>
    <mergeCell ref="C31:G31"/>
    <mergeCell ref="H31:I31"/>
    <mergeCell ref="J31:K31"/>
    <mergeCell ref="L31:M31"/>
    <mergeCell ref="N31:O31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497f9ae-9c71-438c-b553-1e6fe8b1ac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29CFA7192B0F4AA60BE2DF65F4BC74" ma:contentTypeVersion="5" ma:contentTypeDescription="Create a new document." ma:contentTypeScope="" ma:versionID="0ba4b5c005015729e23ae58bb2e473ca">
  <xsd:schema xmlns:xsd="http://www.w3.org/2001/XMLSchema" xmlns:xs="http://www.w3.org/2001/XMLSchema" xmlns:p="http://schemas.microsoft.com/office/2006/metadata/properties" xmlns:ns3="8497f9ae-9c71-438c-b553-1e6fe8b1acb0" targetNamespace="http://schemas.microsoft.com/office/2006/metadata/properties" ma:root="true" ma:fieldsID="25d97b95f973204534edf7ffaa4947dc" ns3:_="">
    <xsd:import namespace="8497f9ae-9c71-438c-b553-1e6fe8b1acb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97f9ae-9c71-438c-b553-1e6fe8b1acb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D18284-CF1D-4706-A3E1-BCA04BD79D31}">
  <ds:schemaRefs>
    <ds:schemaRef ds:uri="http://purl.org/dc/dcmitype/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schemas.microsoft.com/office/2006/metadata/properties"/>
    <ds:schemaRef ds:uri="http://purl.org/dc/elements/1.1/"/>
    <ds:schemaRef ds:uri="http://www.w3.org/XML/1998/namespace"/>
    <ds:schemaRef ds:uri="http://schemas.openxmlformats.org/package/2006/metadata/core-properties"/>
    <ds:schemaRef ds:uri="8497f9ae-9c71-438c-b553-1e6fe8b1acb0"/>
  </ds:schemaRefs>
</ds:datastoreItem>
</file>

<file path=customXml/itemProps2.xml><?xml version="1.0" encoding="utf-8"?>
<ds:datastoreItem xmlns:ds="http://schemas.openxmlformats.org/officeDocument/2006/customXml" ds:itemID="{DA5FFEAC-44C4-4390-BC70-D767A312FE1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7077A38-17B4-4F96-87BF-0EBCEB91EC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97f9ae-9c71-438c-b553-1e6fe8b1ac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 ANGEL ALIPAZ CHAMBI .</dc:creator>
  <cp:lastModifiedBy>GIOVANNI ANGEL ALIPAZ CHAMBI .</cp:lastModifiedBy>
  <dcterms:created xsi:type="dcterms:W3CDTF">2025-11-25T22:14:24Z</dcterms:created>
  <dcterms:modified xsi:type="dcterms:W3CDTF">2025-11-26T00:07:10Z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0x010100A729CFA7192B0F4AA60BE2DF65F4BC74</vt:lpwstr>
  </property>
</Properties>
</file>